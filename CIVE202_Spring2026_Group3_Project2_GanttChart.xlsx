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codeName="ThisWorkbook"/>
  <mc:AlternateContent xmlns:mc="http://schemas.openxmlformats.org/markup-compatibility/2006">
    <mc:Choice Requires="x15">
      <x15ac:absPath xmlns:x15ac="http://schemas.microsoft.com/office/spreadsheetml/2010/11/ac" url="https://uofnebraska-my.sharepoint.com/personal/99073241_nebraska_edu/Documents/CIVE 202/Project 2/"/>
    </mc:Choice>
  </mc:AlternateContent>
  <xr:revisionPtr revIDLastSave="0" documentId="8_{81A0096B-0B5E-40A8-ADBB-7E5E86CE9069}" xr6:coauthVersionLast="47" xr6:coauthVersionMax="47" xr10:uidLastSave="{00000000-0000-0000-0000-000000000000}"/>
  <bookViews>
    <workbookView xWindow="-108" yWindow="-108" windowWidth="23256" windowHeight="12456" xr2:uid="{00000000-000D-0000-FFFF-FFFF00000000}"/>
  </bookViews>
  <sheets>
    <sheet name="GanttChart" sheetId="9" r:id="rId1"/>
  </sheets>
  <definedNames>
    <definedName name="prevWBS" localSheetId="0">GanttChart!$A1048576</definedName>
    <definedName name="_xlnm.Print_Area" localSheetId="0">GanttChart!$A$1:$BN$26</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9" l="1"/>
  <c r="I19" i="9" s="1"/>
  <c r="I26" i="9"/>
  <c r="F8" i="9" l="1"/>
  <c r="I8" i="9" s="1"/>
  <c r="F20" i="9"/>
  <c r="I20" i="9" s="1"/>
  <c r="F16" i="9"/>
  <c r="I16" i="9" s="1"/>
  <c r="F12" i="9"/>
  <c r="I12" i="9" s="1"/>
  <c r="F9" i="9" l="1"/>
  <c r="K6" i="9"/>
  <c r="F10" i="9" l="1"/>
  <c r="I10" i="9" s="1"/>
  <c r="I9" i="9"/>
  <c r="K7" i="9"/>
  <c r="K4" i="9"/>
  <c r="A8" i="9"/>
  <c r="L6" i="9" l="1"/>
  <c r="F14" i="9" l="1"/>
  <c r="I14" i="9" s="1"/>
  <c r="F13" i="9"/>
  <c r="I13" i="9" s="1"/>
  <c r="F18" i="9"/>
  <c r="I18" i="9" s="1"/>
  <c r="F17" i="9"/>
  <c r="I17" i="9" s="1"/>
  <c r="F22" i="9"/>
  <c r="I22" i="9" s="1"/>
  <c r="F21" i="9"/>
  <c r="I21" i="9" s="1"/>
  <c r="M6" i="9"/>
  <c r="F23" i="9" l="1"/>
  <c r="I23" i="9" s="1"/>
  <c r="N6" i="9"/>
  <c r="F24" i="9" l="1"/>
  <c r="I24" i="9" s="1"/>
  <c r="O6" i="9"/>
  <c r="K5" i="9"/>
  <c r="F25" i="9" l="1"/>
  <c r="I25" i="9" s="1"/>
  <c r="F11" i="9"/>
  <c r="I11" i="9" s="1"/>
  <c r="P6" i="9"/>
  <c r="L7" i="9"/>
  <c r="Q6" i="9" l="1"/>
  <c r="M7" i="9"/>
  <c r="R6" i="9" l="1"/>
  <c r="N7" i="9"/>
  <c r="S6" i="9" l="1"/>
  <c r="O7" i="9"/>
  <c r="T6" i="9" l="1"/>
  <c r="P7" i="9"/>
  <c r="U6" i="9" l="1"/>
  <c r="Q7" i="9"/>
  <c r="V6" i="9" l="1"/>
  <c r="R7" i="9"/>
  <c r="R5" i="9"/>
  <c r="R4" i="9"/>
  <c r="W6" i="9" l="1"/>
  <c r="S7" i="9"/>
  <c r="X6" i="9" l="1"/>
  <c r="T7" i="9"/>
  <c r="Y6" i="9" l="1"/>
  <c r="U7" i="9"/>
  <c r="Z6" i="9" l="1"/>
  <c r="V7" i="9"/>
  <c r="AA6" i="9" l="1"/>
  <c r="X7" i="9"/>
  <c r="W7" i="9"/>
  <c r="AB6" i="9" l="1"/>
  <c r="Y5" i="9"/>
  <c r="Y4" i="9"/>
  <c r="Y7" i="9"/>
  <c r="AC6" i="9" l="1"/>
  <c r="Z7" i="9"/>
  <c r="AD6" i="9" l="1"/>
  <c r="AA7" i="9"/>
  <c r="AE6" i="9" l="1"/>
  <c r="AB7" i="9"/>
  <c r="AF6" i="9" l="1"/>
  <c r="AC7" i="9"/>
  <c r="AG6" i="9" l="1"/>
  <c r="AD7" i="9"/>
  <c r="AH6" i="9" l="1"/>
  <c r="AE7" i="9"/>
  <c r="AI6" i="9" l="1"/>
  <c r="AF4" i="9"/>
  <c r="AF7" i="9"/>
  <c r="AF5" i="9"/>
  <c r="AJ6" i="9" l="1"/>
  <c r="AG7" i="9"/>
  <c r="AK6" i="9" l="1"/>
  <c r="AH7" i="9"/>
  <c r="AL6" i="9" l="1"/>
  <c r="AI7" i="9"/>
  <c r="AM6" i="9" l="1"/>
  <c r="AJ7" i="9"/>
  <c r="AN6" i="9" l="1"/>
  <c r="AK7" i="9"/>
  <c r="AO6" i="9" l="1"/>
  <c r="AL7" i="9"/>
  <c r="AP6" i="9" l="1"/>
  <c r="AM7" i="9"/>
  <c r="AM5" i="9"/>
  <c r="AM4" i="9"/>
  <c r="AQ6" i="9" l="1"/>
  <c r="AN7" i="9"/>
  <c r="AR6" i="9" l="1"/>
  <c r="AO7" i="9"/>
  <c r="AS6" i="9" l="1"/>
  <c r="AP7" i="9"/>
  <c r="AT6" i="9" l="1"/>
  <c r="AQ7" i="9"/>
  <c r="AU6" i="9" l="1"/>
  <c r="AR7" i="9"/>
  <c r="AV6" i="9" l="1"/>
  <c r="AS7" i="9"/>
  <c r="AW6" i="9" l="1"/>
  <c r="AT7" i="9"/>
  <c r="AT5" i="9"/>
  <c r="AT4" i="9"/>
  <c r="AX6" i="9" l="1"/>
  <c r="AU7" i="9"/>
  <c r="AY6" i="9" l="1"/>
  <c r="AV7" i="9"/>
  <c r="AZ6" i="9" l="1"/>
  <c r="AW7" i="9"/>
  <c r="BA6" i="9" l="1"/>
  <c r="AX7" i="9"/>
  <c r="BB6" i="9" l="1"/>
  <c r="AY7" i="9"/>
  <c r="BC6" i="9" l="1"/>
  <c r="AZ7" i="9"/>
  <c r="BD6" i="9" l="1"/>
  <c r="BA5" i="9"/>
  <c r="BA4" i="9"/>
  <c r="BA7" i="9"/>
  <c r="BE6" i="9" l="1"/>
  <c r="BB7" i="9"/>
  <c r="BF6" i="9" l="1"/>
  <c r="BC7" i="9"/>
  <c r="BG6" i="9" l="1"/>
  <c r="BD7" i="9"/>
  <c r="BH6" i="9" l="1"/>
  <c r="BE7" i="9"/>
  <c r="BI6" i="9" l="1"/>
  <c r="BF7" i="9"/>
  <c r="BJ6" i="9" l="1"/>
  <c r="BG7" i="9"/>
  <c r="BK6" i="9" l="1"/>
  <c r="BH4" i="9"/>
  <c r="BH7" i="9"/>
  <c r="BH5" i="9"/>
  <c r="BL6" i="9" l="1"/>
  <c r="BI7" i="9"/>
  <c r="BM6" i="9" l="1"/>
  <c r="BJ7" i="9"/>
  <c r="BN6" i="9" l="1"/>
  <c r="BK7" i="9"/>
  <c r="BL7" i="9" l="1"/>
  <c r="BM7" i="9" l="1"/>
  <c r="BN7" i="9" l="1"/>
  <c r="A9" i="9" l="1"/>
  <c r="A10" i="9" s="1"/>
  <c r="A11" i="9" s="1"/>
  <c r="A12" i="9" l="1"/>
  <c r="A13" i="9" s="1"/>
  <c r="A14" i="9" s="1"/>
  <c r="A15" i="9" l="1"/>
  <c r="A16" i="9" s="1"/>
  <c r="A17" i="9" s="1"/>
  <c r="A18" i="9" s="1"/>
  <c r="A19" i="9" l="1"/>
  <c r="A20" i="9" s="1"/>
  <c r="A21" i="9" s="1"/>
  <c r="A22" i="9" s="1"/>
  <c r="A23" i="9" s="1"/>
  <c r="A24" i="9" s="1"/>
  <c r="A25" i="9" s="1"/>
  <c r="F15" i="9"/>
  <c r="I15"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7" authorId="0" shapeId="0" xr:uid="{00000000-0006-0000-0000-000001000000}">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xr:uid="{00000000-0006-0000-0000-000002000000}">
      <text>
        <r>
          <rPr>
            <b/>
            <sz val="9"/>
            <color rgb="FF000000"/>
            <rFont val="Tahoma"/>
            <family val="2"/>
          </rPr>
          <t>Task Description</t>
        </r>
        <r>
          <rPr>
            <sz val="9"/>
            <color rgb="FF000000"/>
            <rFont val="Tahoma"/>
            <family val="2"/>
          </rPr>
          <t xml:space="preserve">
</t>
        </r>
        <r>
          <rPr>
            <sz val="9"/>
            <color rgb="FF000000"/>
            <rFont val="Tahoma"/>
            <family val="2"/>
          </rPr>
          <t>Enter the name of each task and sub-task. Use indents for sub-tasks.</t>
        </r>
      </text>
    </comment>
    <comment ref="C7" authorId="0" shapeId="0" xr:uid="{00000000-0006-0000-0000-000003000000}">
      <text>
        <r>
          <rPr>
            <b/>
            <sz val="9"/>
            <color rgb="FF000000"/>
            <rFont val="Tahoma"/>
            <family val="2"/>
          </rPr>
          <t>Task Lead</t>
        </r>
        <r>
          <rPr>
            <sz val="9"/>
            <color rgb="FF000000"/>
            <rFont val="Tahoma"/>
            <family val="2"/>
          </rPr>
          <t xml:space="preserve">
</t>
        </r>
        <r>
          <rPr>
            <sz val="9"/>
            <color rgb="FF000000"/>
            <rFont val="Tahoma"/>
            <family val="2"/>
          </rPr>
          <t>Enter the name of the Task Lead in this column.</t>
        </r>
      </text>
    </comment>
    <comment ref="D7" authorId="0" shapeId="0" xr:uid="{00000000-0006-0000-0000-000004000000}">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shapeId="0" xr:uid="{00000000-0006-0000-0000-000005000000}">
      <text>
        <r>
          <rPr>
            <b/>
            <sz val="9"/>
            <color rgb="FF000000"/>
            <rFont val="Tahoma"/>
            <family val="2"/>
          </rPr>
          <t>Task Start Date</t>
        </r>
        <r>
          <rPr>
            <sz val="9"/>
            <color rgb="FF000000"/>
            <rFont val="Tahoma"/>
            <family val="2"/>
          </rPr>
          <t xml:space="preserve">
</t>
        </r>
        <r>
          <rPr>
            <sz val="9"/>
            <color rgb="FF000000"/>
            <rFont val="Tahoma"/>
            <family val="2"/>
          </rPr>
          <t xml:space="preserve">You can manually enter the Start Date for each task or use a formula to create a dependency on a Predecessor. For example, you could enter </t>
        </r>
        <r>
          <rPr>
            <b/>
            <sz val="9"/>
            <color rgb="FF000000"/>
            <rFont val="Tahoma"/>
            <family val="2"/>
          </rPr>
          <t>=</t>
        </r>
        <r>
          <rPr>
            <b/>
            <i/>
            <sz val="9"/>
            <color rgb="FF000000"/>
            <rFont val="Tahoma"/>
            <family val="2"/>
          </rPr>
          <t>enddate</t>
        </r>
        <r>
          <rPr>
            <b/>
            <sz val="9"/>
            <color rgb="FF000000"/>
            <rFont val="Tahoma"/>
            <family val="2"/>
          </rPr>
          <t>+1</t>
        </r>
        <r>
          <rPr>
            <sz val="9"/>
            <color rgb="FF000000"/>
            <rFont val="Tahoma"/>
            <family val="2"/>
          </rPr>
          <t xml:space="preserve"> to set the Start date to the next calendar day, or </t>
        </r>
        <r>
          <rPr>
            <b/>
            <sz val="9"/>
            <color rgb="FF000000"/>
            <rFont val="Tahoma"/>
            <family val="2"/>
          </rPr>
          <t>=WORKDAY(</t>
        </r>
        <r>
          <rPr>
            <b/>
            <i/>
            <sz val="9"/>
            <color rgb="FF000000"/>
            <rFont val="Tahoma"/>
            <family val="2"/>
          </rPr>
          <t>enddate</t>
        </r>
        <r>
          <rPr>
            <b/>
            <sz val="9"/>
            <color rgb="FF000000"/>
            <rFont val="Tahoma"/>
            <family val="2"/>
          </rPr>
          <t>,1)</t>
        </r>
        <r>
          <rPr>
            <sz val="9"/>
            <color rgb="FF000000"/>
            <rFont val="Tahoma"/>
            <family val="2"/>
          </rPr>
          <t xml:space="preserve"> to set the Start date to the next work day (excluding weekends), where </t>
        </r>
        <r>
          <rPr>
            <i/>
            <sz val="9"/>
            <color rgb="FF000000"/>
            <rFont val="Tahoma"/>
            <family val="2"/>
          </rPr>
          <t>enddate</t>
        </r>
        <r>
          <rPr>
            <sz val="9"/>
            <color rgb="FF000000"/>
            <rFont val="Tahoma"/>
            <family val="2"/>
          </rPr>
          <t xml:space="preserve"> is the cell reference for the End date of the Predecessor task.</t>
        </r>
      </text>
    </comment>
    <comment ref="F7" authorId="1" shapeId="0" xr:uid="{00000000-0006-0000-0000-000006000000}">
      <text>
        <r>
          <rPr>
            <b/>
            <sz val="9"/>
            <color indexed="81"/>
            <rFont val="Tahoma"/>
            <family val="2"/>
          </rPr>
          <t>End Date:</t>
        </r>
        <r>
          <rPr>
            <sz val="9"/>
            <color indexed="81"/>
            <rFont val="Tahoma"/>
            <family val="2"/>
          </rPr>
          <t xml:space="preserve">
The End Date is calculated based on the Start Date and the Calendar Days columns.</t>
        </r>
      </text>
    </comment>
    <comment ref="G7" authorId="0" shapeId="0" xr:uid="{00000000-0006-0000-0000-000007000000}">
      <text>
        <r>
          <rPr>
            <b/>
            <sz val="9"/>
            <color indexed="81"/>
            <rFont val="Tahoma"/>
            <family val="2"/>
          </rPr>
          <t>Duration (Calendar Days)</t>
        </r>
        <r>
          <rPr>
            <sz val="9"/>
            <color indexed="81"/>
            <rFont val="Tahoma"/>
            <family val="2"/>
          </rPr>
          <t xml:space="preserve">
The duration is the number of calendar days for the given task. The duration is calculated as the </t>
        </r>
        <r>
          <rPr>
            <b/>
            <sz val="9"/>
            <color indexed="81"/>
            <rFont val="Tahoma"/>
            <family val="2"/>
          </rPr>
          <t>End</t>
        </r>
        <r>
          <rPr>
            <sz val="9"/>
            <color indexed="81"/>
            <rFont val="Tahoma"/>
            <family val="2"/>
          </rPr>
          <t xml:space="preserve"> Date minus the </t>
        </r>
        <r>
          <rPr>
            <b/>
            <sz val="9"/>
            <color indexed="81"/>
            <rFont val="Tahoma"/>
            <family val="2"/>
          </rPr>
          <t>Start</t>
        </r>
        <r>
          <rPr>
            <sz val="9"/>
            <color indexed="81"/>
            <rFont val="Tahoma"/>
            <family val="2"/>
          </rPr>
          <t xml:space="preserve"> Date plus 1 day, so that a task starting and ending on the same day has a duration of 1 day.
</t>
        </r>
        <r>
          <rPr>
            <b/>
            <sz val="9"/>
            <color indexed="81"/>
            <rFont val="Tahoma"/>
            <family val="2"/>
          </rPr>
          <t>Note:</t>
        </r>
        <r>
          <rPr>
            <sz val="9"/>
            <color indexed="81"/>
            <rFont val="Tahoma"/>
            <family val="2"/>
          </rPr>
          <t xml:space="preserve"> The conditional formatting used to create the gantt chart references this column.</t>
        </r>
      </text>
    </comment>
    <comment ref="H7" authorId="0" shapeId="0" xr:uid="{00000000-0006-0000-0000-000008000000}">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I7" authorId="0" shapeId="0" xr:uid="{00000000-0006-0000-0000-000009000000}">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sharedStrings.xml><?xml version="1.0" encoding="utf-8"?>
<sst xmlns="http://schemas.openxmlformats.org/spreadsheetml/2006/main" count="46" uniqueCount="38">
  <si>
    <t>Project #2 – NDOT Concrete Mix Automation</t>
  </si>
  <si>
    <t xml:space="preserve">Group 151-03 </t>
  </si>
  <si>
    <t>Dylan Dubas, Rylee Renner, Zane Smith, Dawa Tamang</t>
  </si>
  <si>
    <t xml:space="preserve">Project Start Date </t>
  </si>
  <si>
    <t xml:space="preserve">Display Week </t>
  </si>
  <si>
    <t>WBS</t>
  </si>
  <si>
    <t>TASK</t>
  </si>
  <si>
    <t>LEAD</t>
  </si>
  <si>
    <t>PREDECESSOR</t>
  </si>
  <si>
    <t>START</t>
  </si>
  <si>
    <t>END</t>
  </si>
  <si>
    <t>DAYS</t>
  </si>
  <si>
    <t>% DONE</t>
  </si>
  <si>
    <t>WORK DAYS</t>
  </si>
  <si>
    <t>Planning and Setup</t>
  </si>
  <si>
    <t>Project Planning &amp; Task Assignment</t>
  </si>
  <si>
    <t>[Team]</t>
  </si>
  <si>
    <t>Review NDOT Excel Model &amp; Requirements</t>
  </si>
  <si>
    <t>Set Up GitHub Repository &amp; File Structure</t>
  </si>
  <si>
    <t>[Rylee Renner]</t>
  </si>
  <si>
    <t>Development (Python) code</t>
  </si>
  <si>
    <t>Translate Excel Calculations to Python Functions</t>
  </si>
  <si>
    <t>Build Sequential User Input Prompts</t>
  </si>
  <si>
    <t>Format Final Mix Design Output (Weight Chart)</t>
  </si>
  <si>
    <t>Mix Scenarios &amp; Testing</t>
  </si>
  <si>
    <t>Research and prepare four Concrete Mix Scenarios</t>
  </si>
  <si>
    <t>[Dawa Tamang]</t>
  </si>
  <si>
    <t>Validate the scenarios in Python Model</t>
  </si>
  <si>
    <t>Dawa Tamang</t>
  </si>
  <si>
    <t>Debugging</t>
  </si>
  <si>
    <t xml:space="preserve"> [Dylan Dubas]</t>
  </si>
  <si>
    <t>Final Deliverables Documentation</t>
  </si>
  <si>
    <t>Write Scope of Work (SOW)</t>
  </si>
  <si>
    <t>Write Annotated Code Document (ACD)</t>
  </si>
  <si>
    <t>[Zane Smith]</t>
  </si>
  <si>
    <t>Technical Report Writing</t>
  </si>
  <si>
    <t>Write README + User Guide (GitHub)</t>
  </si>
  <si>
    <t>Final Submission (Canvas + GitHub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</si>
</sst>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dddd\)"/>
    <numFmt numFmtId="165" formatCode="ddd\ m/dd/yy"/>
    <numFmt numFmtId="166" formatCode="d"/>
    <numFmt numFmtId="167" formatCode="d\ mmm\ yyyy"/>
  </numFmts>
  <fonts count="47" x14ac:knownFonts="1">
    <font>
      <sz val="10"/>
      <name val="Arial"/>
    </font>
    <font>
      <sz val="10"/>
      <name val="Arial"/>
      <family val="2"/>
    </font>
    <font>
      <u/>
      <sz val="10"/>
      <color indexed="12"/>
      <name val="Arial"/>
      <family val="2"/>
    </font>
    <font>
      <sz val="8"/>
      <name val="Arial"/>
      <family val="2"/>
    </font>
    <font>
      <u/>
      <sz val="8"/>
      <color indexed="12"/>
      <name val="Arial"/>
      <family val="2"/>
    </font>
    <font>
      <sz val="10"/>
      <name val="Arial"/>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b/>
      <sz val="9"/>
      <color indexed="81"/>
      <name val="Tahoma"/>
      <family val="2"/>
    </font>
    <font>
      <sz val="9"/>
      <color indexed="81"/>
      <name val="Tahoma"/>
      <family val="2"/>
    </font>
    <font>
      <sz val="9"/>
      <name val="Arial"/>
      <family val="2"/>
      <scheme val="minor"/>
    </font>
    <font>
      <sz val="10"/>
      <name val="Arial"/>
      <family val="1"/>
      <scheme val="major"/>
    </font>
    <font>
      <sz val="11"/>
      <name val="Arial"/>
      <family val="1"/>
      <scheme val="major"/>
    </font>
    <font>
      <sz val="10"/>
      <name val="Arial"/>
      <family val="2"/>
      <scheme val="minor"/>
    </font>
    <font>
      <b/>
      <sz val="11"/>
      <name val="Arial"/>
      <family val="2"/>
      <scheme val="minor"/>
    </font>
    <font>
      <sz val="9"/>
      <color rgb="FF000000"/>
      <name val="Arial"/>
      <family val="2"/>
      <scheme val="minor"/>
    </font>
    <font>
      <i/>
      <sz val="9"/>
      <name val="Arial"/>
      <family val="2"/>
      <scheme val="minor"/>
    </font>
    <font>
      <sz val="11"/>
      <name val="Arial"/>
      <family val="2"/>
      <scheme val="minor"/>
    </font>
    <font>
      <sz val="14"/>
      <name val="Arial"/>
      <family val="2"/>
      <scheme val="minor"/>
    </font>
    <font>
      <sz val="14"/>
      <color rgb="FF000000"/>
      <name val="Arial"/>
      <family val="2"/>
      <scheme val="minor"/>
    </font>
    <font>
      <sz val="10"/>
      <name val="Arial"/>
      <family val="2"/>
      <scheme val="major"/>
    </font>
    <font>
      <b/>
      <sz val="9"/>
      <name val="Arial"/>
      <family val="2"/>
      <scheme val="major"/>
    </font>
    <font>
      <b/>
      <sz val="8"/>
      <name val="Arial"/>
      <family val="2"/>
      <scheme val="major"/>
    </font>
    <font>
      <sz val="16"/>
      <color theme="4" tint="-0.249977111117893"/>
      <name val="Arial"/>
      <family val="1"/>
      <scheme val="major"/>
    </font>
    <font>
      <i/>
      <sz val="8"/>
      <color theme="1" tint="0.34998626667073579"/>
      <name val="Arial"/>
      <family val="2"/>
    </font>
    <font>
      <b/>
      <sz val="9"/>
      <color rgb="FF000000"/>
      <name val="Tahoma"/>
      <family val="2"/>
    </font>
    <font>
      <sz val="9"/>
      <color rgb="FF000000"/>
      <name val="Tahoma"/>
      <family val="2"/>
    </font>
    <font>
      <b/>
      <i/>
      <sz val="9"/>
      <color rgb="FF000000"/>
      <name val="Tahoma"/>
      <family val="2"/>
    </font>
    <font>
      <i/>
      <sz val="9"/>
      <color rgb="FF000000"/>
      <name val="Tahoma"/>
      <family val="2"/>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9"/>
        <bgColor indexed="64"/>
      </patternFill>
    </fill>
    <fill>
      <patternFill patternType="solid">
        <fgColor theme="0" tint="-0.14999847407452621"/>
        <bgColor indexed="64"/>
      </patternFill>
    </fill>
    <fill>
      <patternFill patternType="solid">
        <fgColor theme="3" tint="0.79998168889431442"/>
        <bgColor rgb="FFD6F4D9"/>
      </patternFill>
    </fill>
    <fill>
      <patternFill patternType="solid">
        <fgColor theme="3" tint="0.79998168889431442"/>
        <bgColor indexed="64"/>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style="thin">
        <color theme="0" tint="-0.24994659260841701"/>
      </left>
      <right style="thin">
        <color theme="0" tint="-0.24994659260841701"/>
      </right>
      <top/>
      <bottom/>
      <diagonal/>
    </border>
    <border>
      <left/>
      <right/>
      <top/>
      <bottom style="thin">
        <color indexed="22"/>
      </bottom>
      <diagonal/>
    </border>
    <border>
      <left/>
      <right/>
      <top style="thin">
        <color theme="0" tint="-0.24994659260841701"/>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theme="0" tint="-0.24994659260841701"/>
      </bottom>
      <diagonal/>
    </border>
  </borders>
  <cellStyleXfs count="44">
    <xf numFmtId="0" fontId="0" fillId="0" borderId="0"/>
    <xf numFmtId="0" fontId="9" fillId="2"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2"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6"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8"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0" borderId="0" applyNumberFormat="0" applyBorder="0" applyAlignment="0" applyProtection="0"/>
    <xf numFmtId="0" fontId="10" fillId="12" borderId="0" applyNumberFormat="0" applyBorder="0" applyAlignment="0" applyProtection="0"/>
    <xf numFmtId="0" fontId="10" fillId="9"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1" fillId="16" borderId="0" applyNumberFormat="0" applyBorder="0" applyAlignment="0" applyProtection="0"/>
    <xf numFmtId="0" fontId="12" fillId="17" borderId="1" applyNumberFormat="0" applyAlignment="0" applyProtection="0"/>
    <xf numFmtId="0" fontId="13" fillId="18" borderId="2" applyNumberFormat="0" applyAlignment="0" applyProtection="0"/>
    <xf numFmtId="0" fontId="14" fillId="0" borderId="0" applyNumberFormat="0" applyFill="0" applyBorder="0" applyAlignment="0" applyProtection="0"/>
    <xf numFmtId="0" fontId="15" fillId="19" borderId="0" applyNumberFormat="0" applyBorder="0" applyAlignment="0" applyProtection="0"/>
    <xf numFmtId="0" fontId="16" fillId="0" borderId="3"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2" fillId="0" borderId="0" applyNumberFormat="0" applyFill="0" applyBorder="0" applyAlignment="0" applyProtection="0">
      <alignment vertical="top"/>
      <protection locked="0"/>
    </xf>
    <xf numFmtId="0" fontId="19" fillId="11" borderId="1" applyNumberFormat="0" applyAlignment="0" applyProtection="0"/>
    <xf numFmtId="0" fontId="20" fillId="0" borderId="6" applyNumberFormat="0" applyFill="0" applyAlignment="0" applyProtection="0"/>
    <xf numFmtId="0" fontId="21" fillId="5" borderId="0" applyNumberFormat="0" applyBorder="0" applyAlignment="0" applyProtection="0"/>
    <xf numFmtId="0" fontId="5" fillId="5" borderId="7" applyNumberFormat="0" applyFont="0" applyAlignment="0" applyProtection="0"/>
    <xf numFmtId="0" fontId="22" fillId="17" borderId="8" applyNumberFormat="0" applyAlignment="0" applyProtection="0"/>
    <xf numFmtId="9" fontId="1" fillId="0" borderId="0" applyFont="0" applyFill="0" applyBorder="0" applyAlignment="0" applyProtection="0"/>
    <xf numFmtId="0" fontId="23" fillId="0" borderId="0" applyNumberFormat="0" applyFill="0" applyBorder="0" applyAlignment="0" applyProtection="0"/>
    <xf numFmtId="0" fontId="24" fillId="0" borderId="9" applyNumberFormat="0" applyFill="0" applyAlignment="0" applyProtection="0"/>
    <xf numFmtId="0" fontId="25" fillId="0" borderId="0" applyNumberFormat="0" applyFill="0" applyBorder="0" applyAlignment="0" applyProtection="0"/>
  </cellStyleXfs>
  <cellXfs count="74">
    <xf numFmtId="0" fontId="0" fillId="0" borderId="0" xfId="0"/>
    <xf numFmtId="0" fontId="0" fillId="20" borderId="0" xfId="0" applyFill="1"/>
    <xf numFmtId="0" fontId="7" fillId="0" borderId="0" xfId="0" applyFont="1" applyProtection="1">
      <protection locked="0"/>
    </xf>
    <xf numFmtId="0" fontId="2" fillId="0" borderId="0" xfId="34" applyAlignment="1" applyProtection="1">
      <alignment horizontal="left"/>
    </xf>
    <xf numFmtId="0" fontId="4" fillId="20" borderId="0" xfId="34" applyNumberFormat="1" applyFont="1" applyFill="1" applyAlignment="1" applyProtection="1">
      <alignment horizontal="right"/>
      <protection locked="0"/>
    </xf>
    <xf numFmtId="0" fontId="6" fillId="0" borderId="0" xfId="0" applyFont="1" applyAlignment="1" applyProtection="1">
      <alignment vertical="center"/>
      <protection locked="0"/>
    </xf>
    <xf numFmtId="0" fontId="1" fillId="0" borderId="0" xfId="0" applyFont="1"/>
    <xf numFmtId="0" fontId="29" fillId="0" borderId="0" xfId="0" applyFont="1"/>
    <xf numFmtId="0" fontId="30" fillId="0" borderId="0" xfId="0" applyFont="1" applyAlignment="1" applyProtection="1">
      <alignment vertical="center"/>
      <protection locked="0"/>
    </xf>
    <xf numFmtId="0" fontId="32" fillId="21" borderId="10" xfId="0" applyFont="1" applyFill="1" applyBorder="1" applyAlignment="1">
      <alignment horizontal="left" vertical="center"/>
    </xf>
    <xf numFmtId="0" fontId="32" fillId="21" borderId="10" xfId="0" applyFont="1" applyFill="1" applyBorder="1" applyAlignment="1">
      <alignment vertical="center"/>
    </xf>
    <xf numFmtId="0" fontId="28" fillId="21" borderId="10" xfId="0" applyFont="1" applyFill="1" applyBorder="1" applyAlignment="1">
      <alignment vertical="center"/>
    </xf>
    <xf numFmtId="0" fontId="28" fillId="21" borderId="10" xfId="0" applyFont="1" applyFill="1" applyBorder="1" applyAlignment="1">
      <alignment horizontal="center" vertical="center"/>
    </xf>
    <xf numFmtId="1" fontId="28" fillId="21" borderId="10" xfId="40" applyNumberFormat="1" applyFont="1" applyFill="1" applyBorder="1" applyAlignment="1" applyProtection="1">
      <alignment horizontal="center" vertical="center"/>
    </xf>
    <xf numFmtId="9" fontId="28" fillId="21" borderId="10" xfId="40" applyFont="1" applyFill="1" applyBorder="1" applyAlignment="1" applyProtection="1">
      <alignment horizontal="center" vertical="center"/>
    </xf>
    <xf numFmtId="1" fontId="28" fillId="21" borderId="10" xfId="0" applyNumberFormat="1" applyFont="1" applyFill="1" applyBorder="1" applyAlignment="1">
      <alignment horizontal="center" vertical="center"/>
    </xf>
    <xf numFmtId="0" fontId="28" fillId="0" borderId="10" xfId="0" applyFont="1" applyBorder="1" applyAlignment="1">
      <alignment horizontal="left" vertical="center"/>
    </xf>
    <xf numFmtId="0" fontId="28" fillId="0" borderId="10" xfId="0" applyFont="1" applyBorder="1" applyAlignment="1">
      <alignment vertical="center"/>
    </xf>
    <xf numFmtId="1" fontId="33" fillId="23" borderId="11" xfId="0" applyNumberFormat="1" applyFont="1" applyFill="1" applyBorder="1" applyAlignment="1">
      <alignment horizontal="center" vertical="center"/>
    </xf>
    <xf numFmtId="9" fontId="33" fillId="23" borderId="11" xfId="40" applyFont="1" applyFill="1" applyBorder="1" applyAlignment="1" applyProtection="1">
      <alignment horizontal="center" vertical="center"/>
    </xf>
    <xf numFmtId="1" fontId="33" fillId="0" borderId="11" xfId="0" applyNumberFormat="1" applyFont="1" applyBorder="1" applyAlignment="1">
      <alignment horizontal="center" vertical="center"/>
    </xf>
    <xf numFmtId="0" fontId="34" fillId="0" borderId="10" xfId="0" applyFont="1" applyBorder="1" applyAlignment="1">
      <alignment vertical="center"/>
    </xf>
    <xf numFmtId="0" fontId="28" fillId="0" borderId="10" xfId="0" applyFont="1" applyBorder="1" applyAlignment="1">
      <alignment horizontal="center" vertical="center"/>
    </xf>
    <xf numFmtId="1" fontId="28" fillId="0" borderId="10" xfId="40" applyNumberFormat="1" applyFont="1" applyFill="1" applyBorder="1" applyAlignment="1" applyProtection="1">
      <alignment horizontal="center" vertical="center"/>
    </xf>
    <xf numFmtId="9" fontId="28" fillId="0" borderId="10" xfId="40" applyFont="1" applyFill="1" applyBorder="1" applyAlignment="1" applyProtection="1">
      <alignment horizontal="center" vertical="center"/>
    </xf>
    <xf numFmtId="1" fontId="28" fillId="0" borderId="10" xfId="0" applyNumberFormat="1" applyFont="1" applyBorder="1" applyAlignment="1">
      <alignment horizontal="center" vertical="center"/>
    </xf>
    <xf numFmtId="0" fontId="28" fillId="0" borderId="0" xfId="0" applyFont="1" applyAlignment="1">
      <alignment vertical="center"/>
    </xf>
    <xf numFmtId="166" fontId="3" fillId="0" borderId="12" xfId="0" applyNumberFormat="1" applyFont="1" applyBorder="1" applyAlignment="1">
      <alignment horizontal="center" vertical="center" shrinkToFit="1"/>
    </xf>
    <xf numFmtId="0" fontId="32" fillId="21" borderId="13" xfId="0" applyFont="1" applyFill="1" applyBorder="1" applyAlignment="1">
      <alignment horizontal="left" vertical="center"/>
    </xf>
    <xf numFmtId="0" fontId="32" fillId="21" borderId="13" xfId="0" applyFont="1" applyFill="1" applyBorder="1" applyAlignment="1">
      <alignment vertical="center"/>
    </xf>
    <xf numFmtId="0" fontId="28" fillId="21" borderId="13" xfId="0" applyFont="1" applyFill="1" applyBorder="1" applyAlignment="1">
      <alignment vertical="center"/>
    </xf>
    <xf numFmtId="0" fontId="28" fillId="21" borderId="13" xfId="0" applyFont="1" applyFill="1" applyBorder="1" applyAlignment="1">
      <alignment horizontal="center" vertical="center"/>
    </xf>
    <xf numFmtId="165" fontId="28" fillId="21" borderId="13" xfId="0" applyNumberFormat="1" applyFont="1" applyFill="1" applyBorder="1" applyAlignment="1">
      <alignment horizontal="right" vertical="center"/>
    </xf>
    <xf numFmtId="1" fontId="28" fillId="21" borderId="13" xfId="40" applyNumberFormat="1" applyFont="1" applyFill="1" applyBorder="1" applyAlignment="1" applyProtection="1">
      <alignment horizontal="center" vertical="center"/>
    </xf>
    <xf numFmtId="9" fontId="28" fillId="21" borderId="13" xfId="40" applyFont="1" applyFill="1" applyBorder="1" applyAlignment="1" applyProtection="1">
      <alignment horizontal="center" vertical="center"/>
    </xf>
    <xf numFmtId="1" fontId="28" fillId="21" borderId="13" xfId="0" applyNumberFormat="1" applyFont="1" applyFill="1" applyBorder="1" applyAlignment="1">
      <alignment horizontal="center" vertical="center"/>
    </xf>
    <xf numFmtId="166" fontId="3" fillId="0" borderId="15" xfId="0" applyNumberFormat="1" applyFont="1" applyBorder="1" applyAlignment="1">
      <alignment horizontal="center" vertical="center" shrinkToFit="1"/>
    </xf>
    <xf numFmtId="166" fontId="3" fillId="0" borderId="16" xfId="0" applyNumberFormat="1" applyFont="1" applyBorder="1" applyAlignment="1">
      <alignment horizontal="center" vertical="center" shrinkToFit="1"/>
    </xf>
    <xf numFmtId="1" fontId="36" fillId="21" borderId="13" xfId="0" applyNumberFormat="1" applyFont="1" applyFill="1" applyBorder="1" applyAlignment="1">
      <alignment horizontal="center" vertical="center"/>
    </xf>
    <xf numFmtId="1" fontId="37" fillId="0" borderId="11" xfId="0" applyNumberFormat="1" applyFont="1" applyBorder="1" applyAlignment="1">
      <alignment horizontal="center" vertical="center"/>
    </xf>
    <xf numFmtId="1" fontId="36" fillId="21" borderId="10" xfId="0" applyNumberFormat="1" applyFont="1" applyFill="1" applyBorder="1" applyAlignment="1">
      <alignment horizontal="center" vertical="center"/>
    </xf>
    <xf numFmtId="1" fontId="36" fillId="0" borderId="10" xfId="0" applyNumberFormat="1" applyFont="1" applyBorder="1" applyAlignment="1">
      <alignment horizontal="center" vertical="center"/>
    </xf>
    <xf numFmtId="165" fontId="33" fillId="22" borderId="11" xfId="0" applyNumberFormat="1" applyFont="1" applyFill="1" applyBorder="1" applyAlignment="1">
      <alignment horizontal="center" vertical="center"/>
    </xf>
    <xf numFmtId="165" fontId="33" fillId="0" borderId="11" xfId="0" applyNumberFormat="1" applyFont="1" applyBorder="1" applyAlignment="1">
      <alignment horizontal="center" vertical="center"/>
    </xf>
    <xf numFmtId="165" fontId="28" fillId="21" borderId="10" xfId="0" applyNumberFormat="1" applyFont="1" applyFill="1" applyBorder="1" applyAlignment="1">
      <alignment horizontal="center" vertical="center"/>
    </xf>
    <xf numFmtId="0" fontId="34" fillId="0" borderId="10" xfId="0" applyFont="1" applyBorder="1" applyAlignment="1">
      <alignment horizontal="center" vertical="center"/>
    </xf>
    <xf numFmtId="0" fontId="28" fillId="21" borderId="13" xfId="0" applyFont="1" applyFill="1" applyBorder="1" applyAlignment="1">
      <alignment horizontal="left" vertical="center"/>
    </xf>
    <xf numFmtId="9" fontId="28" fillId="0" borderId="10" xfId="0" applyNumberFormat="1" applyFont="1" applyBorder="1" applyAlignment="1">
      <alignment horizontal="left" vertical="center"/>
    </xf>
    <xf numFmtId="0" fontId="28" fillId="21" borderId="10" xfId="0" applyFont="1" applyFill="1" applyBorder="1" applyAlignment="1">
      <alignment horizontal="left" vertical="center"/>
    </xf>
    <xf numFmtId="0" fontId="38" fillId="0" borderId="0" xfId="0" applyFont="1"/>
    <xf numFmtId="0" fontId="38" fillId="0" borderId="0" xfId="0" applyFont="1" applyAlignment="1">
      <alignment horizontal="right" vertical="center"/>
    </xf>
    <xf numFmtId="165" fontId="28" fillId="21" borderId="13" xfId="0" applyNumberFormat="1" applyFont="1" applyFill="1" applyBorder="1" applyAlignment="1">
      <alignment horizontal="center" vertical="center"/>
    </xf>
    <xf numFmtId="0" fontId="39" fillId="0" borderId="17" xfId="0" applyFont="1" applyBorder="1" applyAlignment="1">
      <alignment horizontal="left" vertical="center"/>
    </xf>
    <xf numFmtId="0" fontId="39" fillId="0" borderId="17" xfId="0" applyFont="1" applyBorder="1" applyAlignment="1">
      <alignment horizontal="center" vertical="center" wrapText="1"/>
    </xf>
    <xf numFmtId="0" fontId="40" fillId="0" borderId="17" xfId="0" applyFont="1" applyBorder="1" applyAlignment="1">
      <alignment horizontal="center" vertical="center" wrapText="1"/>
    </xf>
    <xf numFmtId="0" fontId="39" fillId="0" borderId="17" xfId="0" applyFont="1" applyBorder="1" applyAlignment="1">
      <alignment horizontal="center" vertical="center"/>
    </xf>
    <xf numFmtId="0" fontId="28" fillId="0" borderId="18" xfId="0" applyFont="1" applyBorder="1" applyAlignment="1">
      <alignment horizontal="center" vertical="center" shrinkToFit="1"/>
    </xf>
    <xf numFmtId="0" fontId="28" fillId="0" borderId="19" xfId="0" applyFont="1" applyBorder="1" applyAlignment="1">
      <alignment horizontal="center" vertical="center" shrinkToFit="1"/>
    </xf>
    <xf numFmtId="0" fontId="28" fillId="0" borderId="20" xfId="0" applyFont="1" applyBorder="1" applyAlignment="1">
      <alignment horizontal="center" vertical="center" shrinkToFit="1"/>
    </xf>
    <xf numFmtId="0" fontId="41" fillId="0" borderId="0" xfId="0" applyFont="1" applyAlignment="1" applyProtection="1">
      <alignment vertical="center"/>
      <protection locked="0"/>
    </xf>
    <xf numFmtId="0" fontId="28" fillId="0" borderId="10" xfId="0" applyFont="1" applyBorder="1" applyAlignment="1">
      <alignment vertical="center" wrapText="1"/>
    </xf>
    <xf numFmtId="0" fontId="33" fillId="0" borderId="11" xfId="0" applyFont="1" applyBorder="1" applyAlignment="1">
      <alignment horizontal="center" vertical="center"/>
    </xf>
    <xf numFmtId="0" fontId="31" fillId="0" borderId="21" xfId="0" applyFont="1" applyBorder="1" applyAlignment="1" applyProtection="1">
      <alignment horizontal="center" vertical="center"/>
      <protection locked="0"/>
    </xf>
    <xf numFmtId="0" fontId="1" fillId="0" borderId="0" xfId="0" applyFont="1" applyAlignment="1">
      <alignment horizontal="right" vertical="center"/>
    </xf>
    <xf numFmtId="0" fontId="8" fillId="0" borderId="0" xfId="0" applyFont="1" applyProtection="1">
      <protection locked="0"/>
    </xf>
    <xf numFmtId="0" fontId="42" fillId="0" borderId="0" xfId="34" applyFont="1" applyBorder="1" applyAlignment="1" applyProtection="1">
      <alignment horizontal="left" vertical="center"/>
    </xf>
    <xf numFmtId="164" fontId="31" fillId="0" borderId="14" xfId="0" applyNumberFormat="1" applyFont="1" applyBorder="1" applyAlignment="1" applyProtection="1">
      <alignment horizontal="center" vertical="center" shrinkToFit="1"/>
      <protection locked="0"/>
    </xf>
    <xf numFmtId="0" fontId="35" fillId="0" borderId="15" xfId="0" applyFont="1" applyBorder="1" applyAlignment="1">
      <alignment horizontal="center" vertical="center"/>
    </xf>
    <xf numFmtId="0" fontId="35" fillId="0" borderId="12" xfId="0" applyFont="1" applyBorder="1" applyAlignment="1">
      <alignment horizontal="center" vertical="center"/>
    </xf>
    <xf numFmtId="0" fontId="35" fillId="0" borderId="16" xfId="0" applyFont="1" applyBorder="1" applyAlignment="1">
      <alignment horizontal="center" vertical="center"/>
    </xf>
    <xf numFmtId="164" fontId="31" fillId="0" borderId="21" xfId="0" applyNumberFormat="1" applyFont="1" applyBorder="1" applyAlignment="1" applyProtection="1">
      <alignment horizontal="center" vertical="center" shrinkToFit="1"/>
      <protection locked="0"/>
    </xf>
    <xf numFmtId="167" fontId="31" fillId="0" borderId="15" xfId="0" applyNumberFormat="1" applyFont="1" applyBorder="1" applyAlignment="1">
      <alignment horizontal="center" vertical="center"/>
    </xf>
    <xf numFmtId="167" fontId="31" fillId="0" borderId="12" xfId="0" applyNumberFormat="1" applyFont="1" applyBorder="1" applyAlignment="1">
      <alignment horizontal="center" vertical="center"/>
    </xf>
    <xf numFmtId="167" fontId="31" fillId="0" borderId="16" xfId="0" applyNumberFormat="1" applyFont="1" applyBorder="1" applyAlignment="1">
      <alignment horizontal="center" vertical="center"/>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4">
    <dxf>
      <fill>
        <patternFill>
          <bgColor rgb="FF0070C0"/>
        </patternFill>
      </fill>
    </dxf>
    <dxf>
      <fill>
        <patternFill>
          <bgColor theme="0" tint="-0.499984740745262"/>
        </patternFill>
      </fill>
    </dxf>
    <dxf>
      <border>
        <left style="thin">
          <color rgb="FFC00000"/>
        </left>
        <right style="thin">
          <color rgb="FFC00000"/>
        </right>
        <vertical/>
        <horizontal/>
      </border>
    </dxf>
    <dxf>
      <font>
        <color theme="0"/>
      </font>
      <fill>
        <patternFill>
          <bgColor them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Scroll" dx="22" fmlaLink="$H$4" horiz="1" max="100" min="1" page="0"/>
</file>

<file path=xl/drawings/drawing1.xml><?xml version="1.0" encoding="utf-8"?>
<xdr:wsDr xmlns:xdr="http://schemas.openxmlformats.org/drawingml/2006/spreadsheetDrawing" xmlns:a="http://schemas.openxmlformats.org/drawingml/2006/main">
  <xdr:twoCellAnchor editAs="absolute">
    <xdr:from>
      <xdr:col>5</xdr:col>
      <xdr:colOff>3175</xdr:colOff>
      <xdr:row>5</xdr:row>
      <xdr:rowOff>142875</xdr:rowOff>
    </xdr:from>
    <xdr:to>
      <xdr:col>14</xdr:col>
      <xdr:colOff>0</xdr:colOff>
      <xdr:row>10</xdr:row>
      <xdr:rowOff>80433</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9</xdr:col>
          <xdr:colOff>99060</xdr:colOff>
          <xdr:row>1</xdr:row>
          <xdr:rowOff>129540</xdr:rowOff>
        </xdr:from>
        <xdr:to>
          <xdr:col>27</xdr:col>
          <xdr:colOff>99060</xdr:colOff>
          <xdr:row>2</xdr:row>
          <xdr:rowOff>114300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0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BN26"/>
  <sheetViews>
    <sheetView showGridLines="0" tabSelected="1" zoomScaleNormal="100" workbookViewId="0">
      <pane ySplit="7" topLeftCell="A16" activePane="bottomLeft" state="frozen"/>
      <selection pane="bottomLeft" activeCell="H26" sqref="H26"/>
    </sheetView>
  </sheetViews>
  <sheetFormatPr defaultColWidth="9.109375" defaultRowHeight="13.2" x14ac:dyDescent="0.25"/>
  <cols>
    <col min="1" max="1" width="6.88671875" customWidth="1"/>
    <col min="2" max="2" width="32.6640625" customWidth="1"/>
    <col min="3" max="3" width="21" customWidth="1"/>
    <col min="4" max="4" width="6.88671875" hidden="1" customWidth="1"/>
    <col min="5" max="5" width="15" customWidth="1"/>
    <col min="6" max="6" width="13.44140625" customWidth="1"/>
    <col min="7" max="7" width="6.88671875" customWidth="1"/>
    <col min="8" max="8" width="10.109375" customWidth="1"/>
    <col min="9" max="9" width="6.33203125" customWidth="1"/>
    <col min="10" max="10" width="1.88671875" customWidth="1"/>
    <col min="11" max="66" width="2.33203125" customWidth="1"/>
  </cols>
  <sheetData>
    <row r="1" spans="1:66" ht="30" customHeight="1" x14ac:dyDescent="0.25">
      <c r="A1" s="59" t="s">
        <v>0</v>
      </c>
      <c r="B1" s="5"/>
      <c r="C1" s="5"/>
      <c r="D1" s="5"/>
      <c r="E1" s="5"/>
      <c r="F1" s="5"/>
      <c r="I1" s="63"/>
      <c r="K1" s="65"/>
      <c r="L1" s="65"/>
      <c r="M1" s="65"/>
      <c r="N1" s="65"/>
      <c r="O1" s="65"/>
      <c r="P1" s="65"/>
      <c r="Q1" s="65"/>
      <c r="R1" s="65"/>
      <c r="S1" s="65"/>
      <c r="T1" s="65"/>
      <c r="U1" s="65"/>
      <c r="V1" s="65"/>
      <c r="W1" s="65"/>
      <c r="X1" s="65"/>
      <c r="Y1" s="65"/>
      <c r="Z1" s="65"/>
      <c r="AA1" s="65"/>
      <c r="AB1" s="65"/>
      <c r="AC1" s="65"/>
      <c r="AD1" s="65"/>
      <c r="AE1" s="65"/>
    </row>
    <row r="2" spans="1:66" ht="18" customHeight="1" x14ac:dyDescent="0.25">
      <c r="A2" s="8" t="s">
        <v>1</v>
      </c>
      <c r="B2" s="2"/>
      <c r="C2" s="2"/>
      <c r="D2" s="4"/>
      <c r="E2" s="64"/>
      <c r="F2" s="64"/>
      <c r="H2" s="1"/>
    </row>
    <row r="3" spans="1:66" ht="13.8" x14ac:dyDescent="0.25">
      <c r="A3" s="8" t="s">
        <v>2</v>
      </c>
      <c r="B3" s="6"/>
      <c r="H3" s="1"/>
      <c r="K3" s="3"/>
      <c r="L3" s="3"/>
      <c r="M3" s="3"/>
      <c r="N3" s="3"/>
      <c r="O3" s="3"/>
      <c r="P3" s="3"/>
      <c r="Q3" s="3"/>
      <c r="R3" s="3"/>
      <c r="S3" s="3"/>
      <c r="T3" s="3"/>
      <c r="U3" s="3"/>
      <c r="V3" s="3"/>
      <c r="W3" s="3"/>
      <c r="X3" s="3"/>
      <c r="Y3" s="3"/>
      <c r="Z3" s="3"/>
      <c r="AA3" s="3"/>
    </row>
    <row r="4" spans="1:66" ht="17.25" customHeight="1" x14ac:dyDescent="0.25">
      <c r="A4" s="49"/>
      <c r="B4" s="50" t="s">
        <v>3</v>
      </c>
      <c r="C4" s="70">
        <v>46059</v>
      </c>
      <c r="D4" s="70"/>
      <c r="E4" s="70"/>
      <c r="F4" s="49"/>
      <c r="G4" s="50" t="s">
        <v>4</v>
      </c>
      <c r="H4" s="62">
        <v>1</v>
      </c>
      <c r="I4" s="6"/>
      <c r="J4" s="7"/>
      <c r="K4" s="67" t="str">
        <f>"Week "&amp;(K6-($C$4-WEEKDAY($C$4,1)+2))/7+1</f>
        <v>Week 1</v>
      </c>
      <c r="L4" s="68"/>
      <c r="M4" s="68"/>
      <c r="N4" s="68"/>
      <c r="O4" s="68"/>
      <c r="P4" s="68"/>
      <c r="Q4" s="69"/>
      <c r="R4" s="67" t="str">
        <f>"Week "&amp;(R6-($C$4-WEEKDAY($C$4,1)+2))/7+1</f>
        <v>Week 2</v>
      </c>
      <c r="S4" s="68"/>
      <c r="T4" s="68"/>
      <c r="U4" s="68"/>
      <c r="V4" s="68"/>
      <c r="W4" s="68"/>
      <c r="X4" s="69"/>
      <c r="Y4" s="67" t="str">
        <f>"Week "&amp;(Y6-($C$4-WEEKDAY($C$4,1)+2))/7+1</f>
        <v>Week 3</v>
      </c>
      <c r="Z4" s="68"/>
      <c r="AA4" s="68"/>
      <c r="AB4" s="68"/>
      <c r="AC4" s="68"/>
      <c r="AD4" s="68"/>
      <c r="AE4" s="69"/>
      <c r="AF4" s="67" t="str">
        <f>"Week "&amp;(AF6-($C$4-WEEKDAY($C$4,1)+2))/7+1</f>
        <v>Week 4</v>
      </c>
      <c r="AG4" s="68"/>
      <c r="AH4" s="68"/>
      <c r="AI4" s="68"/>
      <c r="AJ4" s="68"/>
      <c r="AK4" s="68"/>
      <c r="AL4" s="69"/>
      <c r="AM4" s="67" t="str">
        <f>"Week "&amp;(AM6-($C$4-WEEKDAY($C$4,1)+2))/7+1</f>
        <v>Week 5</v>
      </c>
      <c r="AN4" s="68"/>
      <c r="AO4" s="68"/>
      <c r="AP4" s="68"/>
      <c r="AQ4" s="68"/>
      <c r="AR4" s="68"/>
      <c r="AS4" s="69"/>
      <c r="AT4" s="67" t="str">
        <f>"Week "&amp;(AT6-($C$4-WEEKDAY($C$4,1)+2))/7+1</f>
        <v>Week 6</v>
      </c>
      <c r="AU4" s="68"/>
      <c r="AV4" s="68"/>
      <c r="AW4" s="68"/>
      <c r="AX4" s="68"/>
      <c r="AY4" s="68"/>
      <c r="AZ4" s="69"/>
      <c r="BA4" s="67" t="str">
        <f>"Week "&amp;(BA6-($C$4-WEEKDAY($C$4,1)+2))/7+1</f>
        <v>Week 7</v>
      </c>
      <c r="BB4" s="68"/>
      <c r="BC4" s="68"/>
      <c r="BD4" s="68"/>
      <c r="BE4" s="68"/>
      <c r="BF4" s="68"/>
      <c r="BG4" s="69"/>
      <c r="BH4" s="67" t="str">
        <f>"Week "&amp;(BH6-($C$4-WEEKDAY($C$4,1)+2))/7+1</f>
        <v>Week 8</v>
      </c>
      <c r="BI4" s="68"/>
      <c r="BJ4" s="68"/>
      <c r="BK4" s="68"/>
      <c r="BL4" s="68"/>
      <c r="BM4" s="68"/>
      <c r="BN4" s="69"/>
    </row>
    <row r="5" spans="1:66" ht="17.25" customHeight="1" x14ac:dyDescent="0.25">
      <c r="A5" s="49"/>
      <c r="B5" s="50"/>
      <c r="C5" s="66"/>
      <c r="D5" s="66"/>
      <c r="E5" s="66"/>
      <c r="F5" s="49"/>
      <c r="G5" s="49"/>
      <c r="H5" s="49"/>
      <c r="I5" s="49"/>
      <c r="J5" s="7"/>
      <c r="K5" s="71">
        <f>K6</f>
        <v>46055</v>
      </c>
      <c r="L5" s="72"/>
      <c r="M5" s="72"/>
      <c r="N5" s="72"/>
      <c r="O5" s="72"/>
      <c r="P5" s="72"/>
      <c r="Q5" s="73"/>
      <c r="R5" s="71">
        <f>R6</f>
        <v>46062</v>
      </c>
      <c r="S5" s="72"/>
      <c r="T5" s="72"/>
      <c r="U5" s="72"/>
      <c r="V5" s="72"/>
      <c r="W5" s="72"/>
      <c r="X5" s="73"/>
      <c r="Y5" s="71">
        <f>Y6</f>
        <v>46069</v>
      </c>
      <c r="Z5" s="72"/>
      <c r="AA5" s="72"/>
      <c r="AB5" s="72"/>
      <c r="AC5" s="72"/>
      <c r="AD5" s="72"/>
      <c r="AE5" s="73"/>
      <c r="AF5" s="71">
        <f>AF6</f>
        <v>46076</v>
      </c>
      <c r="AG5" s="72"/>
      <c r="AH5" s="72"/>
      <c r="AI5" s="72"/>
      <c r="AJ5" s="72"/>
      <c r="AK5" s="72"/>
      <c r="AL5" s="73"/>
      <c r="AM5" s="71">
        <f>AM6</f>
        <v>46083</v>
      </c>
      <c r="AN5" s="72"/>
      <c r="AO5" s="72"/>
      <c r="AP5" s="72"/>
      <c r="AQ5" s="72"/>
      <c r="AR5" s="72"/>
      <c r="AS5" s="73"/>
      <c r="AT5" s="71">
        <f>AT6</f>
        <v>46090</v>
      </c>
      <c r="AU5" s="72"/>
      <c r="AV5" s="72"/>
      <c r="AW5" s="72"/>
      <c r="AX5" s="72"/>
      <c r="AY5" s="72"/>
      <c r="AZ5" s="73"/>
      <c r="BA5" s="71">
        <f>BA6</f>
        <v>46097</v>
      </c>
      <c r="BB5" s="72"/>
      <c r="BC5" s="72"/>
      <c r="BD5" s="72"/>
      <c r="BE5" s="72"/>
      <c r="BF5" s="72"/>
      <c r="BG5" s="73"/>
      <c r="BH5" s="71">
        <f>BH6</f>
        <v>46104</v>
      </c>
      <c r="BI5" s="72"/>
      <c r="BJ5" s="72"/>
      <c r="BK5" s="72"/>
      <c r="BL5" s="72"/>
      <c r="BM5" s="72"/>
      <c r="BN5" s="73"/>
    </row>
    <row r="6" spans="1:66" x14ac:dyDescent="0.25">
      <c r="A6" s="7"/>
      <c r="B6" s="7"/>
      <c r="C6" s="7"/>
      <c r="D6" s="7"/>
      <c r="E6" s="7"/>
      <c r="F6" s="7"/>
      <c r="G6" s="7"/>
      <c r="H6" s="7"/>
      <c r="I6" s="7"/>
      <c r="J6" s="7"/>
      <c r="K6" s="36">
        <f>C4-WEEKDAY(C4,1)+2+7*(H4-1)</f>
        <v>46055</v>
      </c>
      <c r="L6" s="27">
        <f t="shared" ref="L6:AQ6" si="0">K6+1</f>
        <v>46056</v>
      </c>
      <c r="M6" s="27">
        <f t="shared" si="0"/>
        <v>46057</v>
      </c>
      <c r="N6" s="27">
        <f t="shared" si="0"/>
        <v>46058</v>
      </c>
      <c r="O6" s="27">
        <f t="shared" si="0"/>
        <v>46059</v>
      </c>
      <c r="P6" s="27">
        <f t="shared" si="0"/>
        <v>46060</v>
      </c>
      <c r="Q6" s="37">
        <f t="shared" si="0"/>
        <v>46061</v>
      </c>
      <c r="R6" s="36">
        <f t="shared" si="0"/>
        <v>46062</v>
      </c>
      <c r="S6" s="27">
        <f t="shared" si="0"/>
        <v>46063</v>
      </c>
      <c r="T6" s="27">
        <f t="shared" si="0"/>
        <v>46064</v>
      </c>
      <c r="U6" s="27">
        <f t="shared" si="0"/>
        <v>46065</v>
      </c>
      <c r="V6" s="27">
        <f t="shared" si="0"/>
        <v>46066</v>
      </c>
      <c r="W6" s="27">
        <f t="shared" si="0"/>
        <v>46067</v>
      </c>
      <c r="X6" s="37">
        <f t="shared" si="0"/>
        <v>46068</v>
      </c>
      <c r="Y6" s="36">
        <f t="shared" si="0"/>
        <v>46069</v>
      </c>
      <c r="Z6" s="27">
        <f t="shared" si="0"/>
        <v>46070</v>
      </c>
      <c r="AA6" s="27">
        <f t="shared" si="0"/>
        <v>46071</v>
      </c>
      <c r="AB6" s="27">
        <f t="shared" si="0"/>
        <v>46072</v>
      </c>
      <c r="AC6" s="27">
        <f t="shared" si="0"/>
        <v>46073</v>
      </c>
      <c r="AD6" s="27">
        <f t="shared" si="0"/>
        <v>46074</v>
      </c>
      <c r="AE6" s="37">
        <f t="shared" si="0"/>
        <v>46075</v>
      </c>
      <c r="AF6" s="36">
        <f t="shared" si="0"/>
        <v>46076</v>
      </c>
      <c r="AG6" s="27">
        <f t="shared" si="0"/>
        <v>46077</v>
      </c>
      <c r="AH6" s="27">
        <f t="shared" si="0"/>
        <v>46078</v>
      </c>
      <c r="AI6" s="27">
        <f t="shared" si="0"/>
        <v>46079</v>
      </c>
      <c r="AJ6" s="27">
        <f t="shared" si="0"/>
        <v>46080</v>
      </c>
      <c r="AK6" s="27">
        <f t="shared" si="0"/>
        <v>46081</v>
      </c>
      <c r="AL6" s="37">
        <f t="shared" si="0"/>
        <v>46082</v>
      </c>
      <c r="AM6" s="36">
        <f t="shared" si="0"/>
        <v>46083</v>
      </c>
      <c r="AN6" s="27">
        <f t="shared" si="0"/>
        <v>46084</v>
      </c>
      <c r="AO6" s="27">
        <f t="shared" si="0"/>
        <v>46085</v>
      </c>
      <c r="AP6" s="27">
        <f t="shared" si="0"/>
        <v>46086</v>
      </c>
      <c r="AQ6" s="27">
        <f t="shared" si="0"/>
        <v>46087</v>
      </c>
      <c r="AR6" s="27">
        <f t="shared" ref="AR6:BN6" si="1">AQ6+1</f>
        <v>46088</v>
      </c>
      <c r="AS6" s="37">
        <f t="shared" si="1"/>
        <v>46089</v>
      </c>
      <c r="AT6" s="36">
        <f t="shared" si="1"/>
        <v>46090</v>
      </c>
      <c r="AU6" s="27">
        <f t="shared" si="1"/>
        <v>46091</v>
      </c>
      <c r="AV6" s="27">
        <f t="shared" si="1"/>
        <v>46092</v>
      </c>
      <c r="AW6" s="27">
        <f t="shared" si="1"/>
        <v>46093</v>
      </c>
      <c r="AX6" s="27">
        <f t="shared" si="1"/>
        <v>46094</v>
      </c>
      <c r="AY6" s="27">
        <f t="shared" si="1"/>
        <v>46095</v>
      </c>
      <c r="AZ6" s="37">
        <f t="shared" si="1"/>
        <v>46096</v>
      </c>
      <c r="BA6" s="36">
        <f t="shared" si="1"/>
        <v>46097</v>
      </c>
      <c r="BB6" s="27">
        <f t="shared" si="1"/>
        <v>46098</v>
      </c>
      <c r="BC6" s="27">
        <f t="shared" si="1"/>
        <v>46099</v>
      </c>
      <c r="BD6" s="27">
        <f t="shared" si="1"/>
        <v>46100</v>
      </c>
      <c r="BE6" s="27">
        <f t="shared" si="1"/>
        <v>46101</v>
      </c>
      <c r="BF6" s="27">
        <f t="shared" si="1"/>
        <v>46102</v>
      </c>
      <c r="BG6" s="37">
        <f t="shared" si="1"/>
        <v>46103</v>
      </c>
      <c r="BH6" s="36">
        <f t="shared" si="1"/>
        <v>46104</v>
      </c>
      <c r="BI6" s="27">
        <f t="shared" si="1"/>
        <v>46105</v>
      </c>
      <c r="BJ6" s="27">
        <f t="shared" si="1"/>
        <v>46106</v>
      </c>
      <c r="BK6" s="27">
        <f t="shared" si="1"/>
        <v>46107</v>
      </c>
      <c r="BL6" s="27">
        <f t="shared" si="1"/>
        <v>46108</v>
      </c>
      <c r="BM6" s="27">
        <f t="shared" si="1"/>
        <v>46109</v>
      </c>
      <c r="BN6" s="37">
        <f t="shared" si="1"/>
        <v>46110</v>
      </c>
    </row>
    <row r="7" spans="1:66" s="6" customFormat="1" ht="24.6" thickBot="1" x14ac:dyDescent="0.3">
      <c r="A7" s="52" t="s">
        <v>5</v>
      </c>
      <c r="B7" s="52" t="s">
        <v>6</v>
      </c>
      <c r="C7" s="53" t="s">
        <v>7</v>
      </c>
      <c r="D7" s="54" t="s">
        <v>8</v>
      </c>
      <c r="E7" s="55" t="s">
        <v>9</v>
      </c>
      <c r="F7" s="55" t="s">
        <v>10</v>
      </c>
      <c r="G7" s="53" t="s">
        <v>11</v>
      </c>
      <c r="H7" s="53" t="s">
        <v>12</v>
      </c>
      <c r="I7" s="53" t="s">
        <v>13</v>
      </c>
      <c r="J7" s="53"/>
      <c r="K7" s="56" t="str">
        <f t="shared" ref="K7:AP7" si="2">CHOOSE(WEEKDAY(K6,1),"S","M","T","W","T","F","S")</f>
        <v>M</v>
      </c>
      <c r="L7" s="57" t="str">
        <f t="shared" si="2"/>
        <v>T</v>
      </c>
      <c r="M7" s="57" t="str">
        <f t="shared" si="2"/>
        <v>W</v>
      </c>
      <c r="N7" s="57" t="str">
        <f t="shared" si="2"/>
        <v>T</v>
      </c>
      <c r="O7" s="57" t="str">
        <f t="shared" si="2"/>
        <v>F</v>
      </c>
      <c r="P7" s="57" t="str">
        <f t="shared" si="2"/>
        <v>S</v>
      </c>
      <c r="Q7" s="58" t="str">
        <f t="shared" si="2"/>
        <v>S</v>
      </c>
      <c r="R7" s="56" t="str">
        <f t="shared" si="2"/>
        <v>M</v>
      </c>
      <c r="S7" s="57" t="str">
        <f t="shared" si="2"/>
        <v>T</v>
      </c>
      <c r="T7" s="57" t="str">
        <f t="shared" si="2"/>
        <v>W</v>
      </c>
      <c r="U7" s="57" t="str">
        <f t="shared" si="2"/>
        <v>T</v>
      </c>
      <c r="V7" s="57" t="str">
        <f t="shared" si="2"/>
        <v>F</v>
      </c>
      <c r="W7" s="57" t="str">
        <f t="shared" si="2"/>
        <v>S</v>
      </c>
      <c r="X7" s="58" t="str">
        <f t="shared" si="2"/>
        <v>S</v>
      </c>
      <c r="Y7" s="56" t="str">
        <f t="shared" si="2"/>
        <v>M</v>
      </c>
      <c r="Z7" s="57" t="str">
        <f t="shared" si="2"/>
        <v>T</v>
      </c>
      <c r="AA7" s="57" t="str">
        <f t="shared" si="2"/>
        <v>W</v>
      </c>
      <c r="AB7" s="57" t="str">
        <f t="shared" si="2"/>
        <v>T</v>
      </c>
      <c r="AC7" s="57" t="str">
        <f t="shared" si="2"/>
        <v>F</v>
      </c>
      <c r="AD7" s="57" t="str">
        <f t="shared" si="2"/>
        <v>S</v>
      </c>
      <c r="AE7" s="58" t="str">
        <f t="shared" si="2"/>
        <v>S</v>
      </c>
      <c r="AF7" s="56" t="str">
        <f t="shared" si="2"/>
        <v>M</v>
      </c>
      <c r="AG7" s="57" t="str">
        <f t="shared" si="2"/>
        <v>T</v>
      </c>
      <c r="AH7" s="57" t="str">
        <f t="shared" si="2"/>
        <v>W</v>
      </c>
      <c r="AI7" s="57" t="str">
        <f t="shared" si="2"/>
        <v>T</v>
      </c>
      <c r="AJ7" s="57" t="str">
        <f t="shared" si="2"/>
        <v>F</v>
      </c>
      <c r="AK7" s="57" t="str">
        <f t="shared" si="2"/>
        <v>S</v>
      </c>
      <c r="AL7" s="58" t="str">
        <f t="shared" si="2"/>
        <v>S</v>
      </c>
      <c r="AM7" s="56" t="str">
        <f t="shared" si="2"/>
        <v>M</v>
      </c>
      <c r="AN7" s="57" t="str">
        <f t="shared" si="2"/>
        <v>T</v>
      </c>
      <c r="AO7" s="57" t="str">
        <f t="shared" si="2"/>
        <v>W</v>
      </c>
      <c r="AP7" s="57" t="str">
        <f t="shared" si="2"/>
        <v>T</v>
      </c>
      <c r="AQ7" s="57" t="str">
        <f t="shared" ref="AQ7:BN7" si="3">CHOOSE(WEEKDAY(AQ6,1),"S","M","T","W","T","F","S")</f>
        <v>F</v>
      </c>
      <c r="AR7" s="57" t="str">
        <f t="shared" si="3"/>
        <v>S</v>
      </c>
      <c r="AS7" s="58" t="str">
        <f t="shared" si="3"/>
        <v>S</v>
      </c>
      <c r="AT7" s="56" t="str">
        <f t="shared" si="3"/>
        <v>M</v>
      </c>
      <c r="AU7" s="57" t="str">
        <f t="shared" si="3"/>
        <v>T</v>
      </c>
      <c r="AV7" s="57" t="str">
        <f t="shared" si="3"/>
        <v>W</v>
      </c>
      <c r="AW7" s="57" t="str">
        <f t="shared" si="3"/>
        <v>T</v>
      </c>
      <c r="AX7" s="57" t="str">
        <f t="shared" si="3"/>
        <v>F</v>
      </c>
      <c r="AY7" s="57" t="str">
        <f t="shared" si="3"/>
        <v>S</v>
      </c>
      <c r="AZ7" s="58" t="str">
        <f t="shared" si="3"/>
        <v>S</v>
      </c>
      <c r="BA7" s="56" t="str">
        <f t="shared" si="3"/>
        <v>M</v>
      </c>
      <c r="BB7" s="57" t="str">
        <f t="shared" si="3"/>
        <v>T</v>
      </c>
      <c r="BC7" s="57" t="str">
        <f t="shared" si="3"/>
        <v>W</v>
      </c>
      <c r="BD7" s="57" t="str">
        <f t="shared" si="3"/>
        <v>T</v>
      </c>
      <c r="BE7" s="57" t="str">
        <f t="shared" si="3"/>
        <v>F</v>
      </c>
      <c r="BF7" s="57" t="str">
        <f t="shared" si="3"/>
        <v>S</v>
      </c>
      <c r="BG7" s="58" t="str">
        <f t="shared" si="3"/>
        <v>S</v>
      </c>
      <c r="BH7" s="56" t="str">
        <f t="shared" si="3"/>
        <v>M</v>
      </c>
      <c r="BI7" s="57" t="str">
        <f t="shared" si="3"/>
        <v>T</v>
      </c>
      <c r="BJ7" s="57" t="str">
        <f t="shared" si="3"/>
        <v>W</v>
      </c>
      <c r="BK7" s="57" t="str">
        <f t="shared" si="3"/>
        <v>T</v>
      </c>
      <c r="BL7" s="57" t="str">
        <f t="shared" si="3"/>
        <v>F</v>
      </c>
      <c r="BM7" s="57" t="str">
        <f t="shared" si="3"/>
        <v>S</v>
      </c>
      <c r="BN7" s="58" t="str">
        <f t="shared" si="3"/>
        <v>S</v>
      </c>
    </row>
    <row r="8" spans="1:66" s="11" customFormat="1" ht="17.399999999999999" x14ac:dyDescent="0.25">
      <c r="A8" s="28" t="str">
        <f>IF(ISERROR(VALUE(SUBSTITUTE(prevWBS,".",""))),"1",IF(ISERROR(FIND("`",SUBSTITUTE(prevWBS,".","`",1))),TEXT(VALUE(prevWBS)+1,"#"),TEXT(VALUE(LEFT(prevWBS,FIND("`",SUBSTITUTE(prevWBS,".","`",1))-1))+1,"#")))</f>
        <v>1</v>
      </c>
      <c r="B8" s="29" t="s">
        <v>14</v>
      </c>
      <c r="C8" s="30"/>
      <c r="D8" s="31"/>
      <c r="E8" s="32"/>
      <c r="F8" s="51" t="str">
        <f>IF(ISBLANK(E8)," - ",IF(G8=0,E8,E8+G8-1))</f>
        <v xml:space="preserve"> - </v>
      </c>
      <c r="G8" s="33"/>
      <c r="H8" s="34"/>
      <c r="I8" s="35" t="str">
        <f t="shared" ref="I8:I26" si="4">IF(OR(F8=0,E8=0)," - ",NETWORKDAYS(E8,F8))</f>
        <v xml:space="preserve"> - </v>
      </c>
      <c r="J8" s="38"/>
      <c r="K8" s="46"/>
      <c r="L8" s="46"/>
      <c r="M8" s="46"/>
      <c r="N8" s="46"/>
      <c r="O8" s="46"/>
      <c r="P8" s="46"/>
      <c r="Q8" s="46"/>
      <c r="R8" s="46"/>
      <c r="S8" s="46"/>
      <c r="T8" s="46"/>
      <c r="U8" s="46"/>
      <c r="V8" s="46"/>
      <c r="W8" s="46"/>
      <c r="X8" s="46"/>
      <c r="Y8" s="46"/>
      <c r="Z8" s="46"/>
      <c r="AA8" s="46"/>
      <c r="AB8" s="46"/>
      <c r="AC8" s="46"/>
      <c r="AD8" s="46"/>
      <c r="AE8" s="46"/>
      <c r="AF8" s="46"/>
      <c r="AG8" s="46"/>
      <c r="AH8" s="46"/>
      <c r="AI8" s="46"/>
      <c r="AJ8" s="46"/>
      <c r="AK8" s="46"/>
      <c r="AL8" s="46"/>
      <c r="AM8" s="46"/>
      <c r="AN8" s="46"/>
      <c r="AO8" s="46"/>
      <c r="AP8" s="46"/>
      <c r="AQ8" s="46"/>
      <c r="AR8" s="46"/>
      <c r="AS8" s="46"/>
      <c r="AT8" s="46"/>
      <c r="AU8" s="46"/>
      <c r="AV8" s="46"/>
      <c r="AW8" s="46"/>
      <c r="AX8" s="46"/>
      <c r="AY8" s="46"/>
      <c r="AZ8" s="46"/>
      <c r="BA8" s="46"/>
      <c r="BB8" s="46"/>
      <c r="BC8" s="46"/>
      <c r="BD8" s="46"/>
      <c r="BE8" s="46"/>
      <c r="BF8" s="46"/>
      <c r="BG8" s="46"/>
      <c r="BH8" s="46"/>
      <c r="BI8" s="46"/>
      <c r="BJ8" s="46"/>
      <c r="BK8" s="46"/>
      <c r="BL8" s="46"/>
      <c r="BM8" s="46"/>
      <c r="BN8" s="46"/>
    </row>
    <row r="9" spans="1:66" s="17" customFormat="1" ht="17.399999999999999" x14ac:dyDescent="0.25">
      <c r="A9" s="16" t="str">
        <f t="shared" ref="A9:A11" si="5">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60" t="s">
        <v>15</v>
      </c>
      <c r="C9" s="17" t="s">
        <v>16</v>
      </c>
      <c r="D9" s="61"/>
      <c r="E9" s="42">
        <v>46059</v>
      </c>
      <c r="F9" s="43">
        <f>IF(ISBLANK(E9)," - ",IF(G9=0,E9,E9+G9-1))</f>
        <v>46063</v>
      </c>
      <c r="G9" s="18">
        <v>5</v>
      </c>
      <c r="H9" s="19">
        <v>1</v>
      </c>
      <c r="I9" s="20">
        <f t="shared" si="4"/>
        <v>3</v>
      </c>
      <c r="J9" s="39"/>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row>
    <row r="10" spans="1:66" s="17" customFormat="1" ht="22.8" x14ac:dyDescent="0.25">
      <c r="A10" s="16" t="str">
        <f t="shared" si="5"/>
        <v>1.2</v>
      </c>
      <c r="B10" s="60" t="s">
        <v>17</v>
      </c>
      <c r="C10" s="17" t="s">
        <v>16</v>
      </c>
      <c r="D10" s="61"/>
      <c r="E10" s="42">
        <v>46059</v>
      </c>
      <c r="F10" s="43">
        <f t="shared" ref="F10:F25" si="6">IF(ISBLANK(E10)," - ",IF(G10=0,E10,E10+G10-1))</f>
        <v>46063</v>
      </c>
      <c r="G10" s="18">
        <v>5</v>
      </c>
      <c r="H10" s="19">
        <v>1</v>
      </c>
      <c r="I10" s="20">
        <f t="shared" si="4"/>
        <v>3</v>
      </c>
      <c r="J10" s="39"/>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row>
    <row r="11" spans="1:66" s="17" customFormat="1" ht="17.399999999999999" x14ac:dyDescent="0.25">
      <c r="A11" s="16" t="str">
        <f t="shared" si="5"/>
        <v>1.3</v>
      </c>
      <c r="B11" s="60" t="s">
        <v>18</v>
      </c>
      <c r="C11" s="17" t="s">
        <v>19</v>
      </c>
      <c r="D11" s="61"/>
      <c r="E11" s="42">
        <v>46066</v>
      </c>
      <c r="F11" s="43">
        <f t="shared" si="6"/>
        <v>46072</v>
      </c>
      <c r="G11" s="18">
        <v>7</v>
      </c>
      <c r="H11" s="19">
        <v>1</v>
      </c>
      <c r="I11" s="20">
        <f t="shared" si="4"/>
        <v>5</v>
      </c>
      <c r="J11" s="39"/>
      <c r="K11" s="16"/>
      <c r="L11" s="16"/>
      <c r="M11" s="47"/>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row>
    <row r="12" spans="1:66" s="11" customFormat="1" ht="17.399999999999999" x14ac:dyDescent="0.25">
      <c r="A12" s="9" t="str">
        <f>IF(ISERROR(VALUE(SUBSTITUTE(prevWBS,".",""))),"1",IF(ISERROR(FIND("`",SUBSTITUTE(prevWBS,".","`",1))),TEXT(VALUE(prevWBS)+1,"#"),TEXT(VALUE(LEFT(prevWBS,FIND("`",SUBSTITUTE(prevWBS,".","`",1))-1))+1,"#")))</f>
        <v>2</v>
      </c>
      <c r="B12" s="10" t="s">
        <v>20</v>
      </c>
      <c r="D12" s="12"/>
      <c r="E12" s="44"/>
      <c r="F12" s="44" t="str">
        <f t="shared" si="6"/>
        <v xml:space="preserve"> - </v>
      </c>
      <c r="G12" s="13"/>
      <c r="H12" s="14"/>
      <c r="I12" s="15" t="str">
        <f t="shared" si="4"/>
        <v xml:space="preserve"> - </v>
      </c>
      <c r="J12" s="40"/>
      <c r="K12" s="48"/>
      <c r="L12" s="48"/>
      <c r="M12" s="48"/>
      <c r="N12" s="48"/>
      <c r="O12" s="48"/>
      <c r="P12" s="48"/>
      <c r="Q12" s="48"/>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8"/>
      <c r="BC12" s="48"/>
      <c r="BD12" s="48"/>
      <c r="BE12" s="48"/>
      <c r="BF12" s="48"/>
      <c r="BG12" s="48"/>
      <c r="BH12" s="48"/>
      <c r="BI12" s="48"/>
      <c r="BJ12" s="48"/>
      <c r="BK12" s="48"/>
      <c r="BL12" s="48"/>
      <c r="BM12" s="48"/>
      <c r="BN12" s="48"/>
    </row>
    <row r="13" spans="1:66" s="17" customFormat="1" ht="39" customHeight="1" x14ac:dyDescent="0.25">
      <c r="A13"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2.1</v>
      </c>
      <c r="B13" s="60" t="s">
        <v>21</v>
      </c>
      <c r="C13" s="17" t="s">
        <v>19</v>
      </c>
      <c r="D13" s="61"/>
      <c r="E13" s="42">
        <v>46059</v>
      </c>
      <c r="F13" s="43">
        <f t="shared" si="6"/>
        <v>46073</v>
      </c>
      <c r="G13" s="18">
        <v>15</v>
      </c>
      <c r="H13" s="19">
        <v>1</v>
      </c>
      <c r="I13" s="20">
        <f t="shared" si="4"/>
        <v>11</v>
      </c>
      <c r="J13" s="39"/>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row>
    <row r="14" spans="1:66" s="17" customFormat="1" ht="17.399999999999999" x14ac:dyDescent="0.25">
      <c r="A14"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2.2</v>
      </c>
      <c r="B14" s="60" t="s">
        <v>22</v>
      </c>
      <c r="C14" s="17" t="s">
        <v>19</v>
      </c>
      <c r="D14" s="61"/>
      <c r="E14" s="42">
        <v>46069</v>
      </c>
      <c r="F14" s="43">
        <f t="shared" si="6"/>
        <v>46074</v>
      </c>
      <c r="G14" s="18">
        <v>6</v>
      </c>
      <c r="H14" s="19">
        <v>1</v>
      </c>
      <c r="I14" s="20">
        <f t="shared" si="4"/>
        <v>5</v>
      </c>
      <c r="J14" s="39"/>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row>
    <row r="15" spans="1:66" s="17" customFormat="1" ht="22.8" x14ac:dyDescent="0.25">
      <c r="A15"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2.3</v>
      </c>
      <c r="B15" s="60" t="s">
        <v>23</v>
      </c>
      <c r="C15" s="17" t="s">
        <v>19</v>
      </c>
      <c r="D15" s="61"/>
      <c r="E15" s="42">
        <v>46069</v>
      </c>
      <c r="F15" s="43">
        <f t="shared" si="6"/>
        <v>46074</v>
      </c>
      <c r="G15" s="18">
        <v>6</v>
      </c>
      <c r="H15" s="19">
        <v>1</v>
      </c>
      <c r="I15" s="20">
        <f t="shared" si="4"/>
        <v>5</v>
      </c>
      <c r="J15" s="39"/>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row>
    <row r="16" spans="1:66" s="11" customFormat="1" ht="17.399999999999999" x14ac:dyDescent="0.25">
      <c r="A16" s="9" t="str">
        <f>IF(ISERROR(VALUE(SUBSTITUTE(prevWBS,".",""))),"1",IF(ISERROR(FIND("`",SUBSTITUTE(prevWBS,".","`",1))),TEXT(VALUE(prevWBS)+1,"#"),TEXT(VALUE(LEFT(prevWBS,FIND("`",SUBSTITUTE(prevWBS,".","`",1))-1))+1,"#")))</f>
        <v>3</v>
      </c>
      <c r="B16" s="10" t="s">
        <v>24</v>
      </c>
      <c r="D16" s="12"/>
      <c r="E16" s="44"/>
      <c r="F16" s="44" t="str">
        <f t="shared" si="6"/>
        <v xml:space="preserve"> - </v>
      </c>
      <c r="G16" s="13"/>
      <c r="H16" s="14"/>
      <c r="I16" s="15" t="str">
        <f t="shared" si="4"/>
        <v xml:space="preserve"> - </v>
      </c>
      <c r="J16" s="40"/>
      <c r="K16" s="48"/>
      <c r="L16" s="48"/>
      <c r="M16" s="48"/>
      <c r="N16" s="48"/>
      <c r="O16" s="48"/>
      <c r="P16" s="48"/>
      <c r="Q16" s="48"/>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48"/>
      <c r="BG16" s="48"/>
      <c r="BH16" s="48"/>
      <c r="BI16" s="48"/>
      <c r="BJ16" s="48"/>
      <c r="BK16" s="48"/>
      <c r="BL16" s="48"/>
      <c r="BM16" s="48"/>
      <c r="BN16" s="48"/>
    </row>
    <row r="17" spans="1:66" s="17" customFormat="1" ht="39" customHeight="1" x14ac:dyDescent="0.25">
      <c r="A17"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3.1</v>
      </c>
      <c r="B17" s="60" t="s">
        <v>25</v>
      </c>
      <c r="C17" s="17" t="s">
        <v>26</v>
      </c>
      <c r="D17" s="61"/>
      <c r="E17" s="42">
        <v>46069</v>
      </c>
      <c r="F17" s="43">
        <f t="shared" si="6"/>
        <v>46071</v>
      </c>
      <c r="G17" s="18">
        <v>3</v>
      </c>
      <c r="H17" s="19">
        <v>1</v>
      </c>
      <c r="I17" s="20">
        <f t="shared" si="4"/>
        <v>3</v>
      </c>
      <c r="J17" s="39"/>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row>
    <row r="18" spans="1:66" s="17" customFormat="1" ht="17.399999999999999" x14ac:dyDescent="0.25">
      <c r="A18"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3.2</v>
      </c>
      <c r="B18" s="60" t="s">
        <v>27</v>
      </c>
      <c r="C18" s="17" t="s">
        <v>28</v>
      </c>
      <c r="D18" s="61"/>
      <c r="E18" s="42">
        <v>46067</v>
      </c>
      <c r="F18" s="43">
        <f t="shared" si="6"/>
        <v>46067</v>
      </c>
      <c r="G18" s="18">
        <v>1</v>
      </c>
      <c r="H18" s="19">
        <v>1</v>
      </c>
      <c r="I18" s="20">
        <f t="shared" si="4"/>
        <v>0</v>
      </c>
      <c r="J18" s="39"/>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row>
    <row r="19" spans="1:66" s="17" customFormat="1" ht="17.399999999999999" x14ac:dyDescent="0.25">
      <c r="A19"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3.3</v>
      </c>
      <c r="B19" s="60" t="s">
        <v>29</v>
      </c>
      <c r="C19" s="17" t="s">
        <v>30</v>
      </c>
      <c r="D19" s="61"/>
      <c r="E19" s="42">
        <v>46067</v>
      </c>
      <c r="F19" s="43">
        <f t="shared" si="6"/>
        <v>46067</v>
      </c>
      <c r="G19" s="18">
        <v>1</v>
      </c>
      <c r="H19" s="19">
        <v>1</v>
      </c>
      <c r="I19" s="20">
        <f t="shared" si="4"/>
        <v>0</v>
      </c>
      <c r="J19" s="39"/>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row>
    <row r="20" spans="1:66" s="11" customFormat="1" ht="17.399999999999999" x14ac:dyDescent="0.25">
      <c r="A20" s="9" t="str">
        <f>IF(ISERROR(VALUE(SUBSTITUTE(prevWBS,".",""))),"1",IF(ISERROR(FIND("`",SUBSTITUTE(prevWBS,".","`",1))),TEXT(VALUE(prevWBS)+1,"#"),TEXT(VALUE(LEFT(prevWBS,FIND("`",SUBSTITUTE(prevWBS,".","`",1))-1))+1,"#")))</f>
        <v>4</v>
      </c>
      <c r="B20" s="10" t="s">
        <v>31</v>
      </c>
      <c r="D20" s="12"/>
      <c r="E20" s="44"/>
      <c r="F20" s="44" t="str">
        <f t="shared" si="6"/>
        <v xml:space="preserve"> - </v>
      </c>
      <c r="G20" s="13"/>
      <c r="H20" s="14"/>
      <c r="I20" s="15" t="str">
        <f t="shared" si="4"/>
        <v xml:space="preserve"> - </v>
      </c>
      <c r="J20" s="40"/>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c r="AP20" s="48"/>
      <c r="AQ20" s="48"/>
      <c r="AR20" s="48"/>
      <c r="AS20" s="48"/>
      <c r="AT20" s="48"/>
      <c r="AU20" s="48"/>
      <c r="AV20" s="48"/>
      <c r="AW20" s="48"/>
      <c r="AX20" s="48"/>
      <c r="AY20" s="48"/>
      <c r="AZ20" s="48"/>
      <c r="BA20" s="48"/>
      <c r="BB20" s="48"/>
      <c r="BC20" s="48"/>
      <c r="BD20" s="48"/>
      <c r="BE20" s="48"/>
      <c r="BF20" s="48"/>
      <c r="BG20" s="48"/>
      <c r="BH20" s="48"/>
      <c r="BI20" s="48"/>
      <c r="BJ20" s="48"/>
      <c r="BK20" s="48"/>
      <c r="BL20" s="48"/>
      <c r="BM20" s="48"/>
      <c r="BN20" s="48"/>
    </row>
    <row r="21" spans="1:66" s="17" customFormat="1" ht="26.1" customHeight="1" x14ac:dyDescent="0.25">
      <c r="A21"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4.1</v>
      </c>
      <c r="B21" s="60" t="s">
        <v>32</v>
      </c>
      <c r="C21" s="17" t="s">
        <v>26</v>
      </c>
      <c r="D21" s="61"/>
      <c r="E21" s="42">
        <v>46072</v>
      </c>
      <c r="F21" s="43">
        <f t="shared" si="6"/>
        <v>46075</v>
      </c>
      <c r="G21" s="18">
        <v>4</v>
      </c>
      <c r="H21" s="19">
        <v>1</v>
      </c>
      <c r="I21" s="20">
        <f t="shared" si="4"/>
        <v>2</v>
      </c>
      <c r="J21" s="39"/>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row>
    <row r="22" spans="1:66" s="17" customFormat="1" ht="17.399999999999999" x14ac:dyDescent="0.25">
      <c r="A22"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4.2</v>
      </c>
      <c r="B22" s="60" t="s">
        <v>33</v>
      </c>
      <c r="C22" s="17" t="s">
        <v>34</v>
      </c>
      <c r="D22" s="61"/>
      <c r="E22" s="42">
        <v>46069</v>
      </c>
      <c r="F22" s="43">
        <f t="shared" si="6"/>
        <v>46074</v>
      </c>
      <c r="G22" s="18">
        <v>6</v>
      </c>
      <c r="H22" s="19">
        <v>1</v>
      </c>
      <c r="I22" s="20">
        <f t="shared" si="4"/>
        <v>5</v>
      </c>
      <c r="J22" s="39"/>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row>
    <row r="23" spans="1:66" s="17" customFormat="1" ht="17.399999999999999" x14ac:dyDescent="0.25">
      <c r="A23"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4.3</v>
      </c>
      <c r="B23" s="60" t="s">
        <v>35</v>
      </c>
      <c r="C23" s="17" t="s">
        <v>34</v>
      </c>
      <c r="D23" s="61"/>
      <c r="E23" s="42">
        <v>46073</v>
      </c>
      <c r="F23" s="43">
        <f t="shared" si="6"/>
        <v>46073</v>
      </c>
      <c r="G23" s="18">
        <v>1</v>
      </c>
      <c r="H23" s="19">
        <v>1</v>
      </c>
      <c r="I23" s="20">
        <f t="shared" si="4"/>
        <v>1</v>
      </c>
      <c r="J23" s="39"/>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row>
    <row r="24" spans="1:66" s="17" customFormat="1" ht="17.399999999999999" x14ac:dyDescent="0.25">
      <c r="A24"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4.4</v>
      </c>
      <c r="B24" s="60" t="s">
        <v>36</v>
      </c>
      <c r="C24" s="17" t="s">
        <v>34</v>
      </c>
      <c r="D24" s="61"/>
      <c r="E24" s="42">
        <v>46073</v>
      </c>
      <c r="F24" s="43">
        <f t="shared" si="6"/>
        <v>46073</v>
      </c>
      <c r="G24" s="18">
        <v>1</v>
      </c>
      <c r="H24" s="19">
        <v>1</v>
      </c>
      <c r="I24" s="20">
        <f t="shared" si="4"/>
        <v>1</v>
      </c>
      <c r="J24" s="39"/>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row>
    <row r="25" spans="1:66" s="17" customFormat="1" ht="17.399999999999999" x14ac:dyDescent="0.25">
      <c r="A25"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4.5</v>
      </c>
      <c r="B25" s="60" t="s">
        <v>37</v>
      </c>
      <c r="C25" s="17" t="s">
        <v>19</v>
      </c>
      <c r="D25" s="61"/>
      <c r="E25" s="42">
        <v>46076</v>
      </c>
      <c r="F25" s="43">
        <f t="shared" si="6"/>
        <v>46076</v>
      </c>
      <c r="G25" s="18">
        <v>1</v>
      </c>
      <c r="H25" s="19">
        <v>1</v>
      </c>
      <c r="I25" s="20">
        <f t="shared" si="4"/>
        <v>1</v>
      </c>
      <c r="J25" s="39"/>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row>
    <row r="26" spans="1:66" s="26" customFormat="1" ht="17.399999999999999" x14ac:dyDescent="0.25">
      <c r="A26" s="16"/>
      <c r="B26" s="21"/>
      <c r="C26" s="21"/>
      <c r="D26" s="22"/>
      <c r="E26" s="45"/>
      <c r="F26" s="45"/>
      <c r="G26" s="23"/>
      <c r="H26" s="24"/>
      <c r="I26" s="25" t="str">
        <f t="shared" si="4"/>
        <v xml:space="preserve"> - </v>
      </c>
      <c r="J26" s="41"/>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row>
  </sheetData>
  <sheetProtection formatCells="0" formatColumns="0" formatRows="0" insertRows="0" deleteRows="0"/>
  <mergeCells count="19">
    <mergeCell ref="AF4:AL4"/>
    <mergeCell ref="AF5:AL5"/>
    <mergeCell ref="BH4:BN4"/>
    <mergeCell ref="BH5:BN5"/>
    <mergeCell ref="AM5:AS5"/>
    <mergeCell ref="AT4:AZ4"/>
    <mergeCell ref="AT5:AZ5"/>
    <mergeCell ref="AM4:AS4"/>
    <mergeCell ref="BA4:BG4"/>
    <mergeCell ref="BA5:BG5"/>
    <mergeCell ref="K1:AE1"/>
    <mergeCell ref="C5:E5"/>
    <mergeCell ref="R4:X4"/>
    <mergeCell ref="K4:Q4"/>
    <mergeCell ref="C4:E4"/>
    <mergeCell ref="R5:X5"/>
    <mergeCell ref="K5:Q5"/>
    <mergeCell ref="Y4:AE4"/>
    <mergeCell ref="Y5:AE5"/>
  </mergeCells>
  <phoneticPr fontId="3" type="noConversion"/>
  <conditionalFormatting sqref="H8:H26">
    <cfRule type="dataBar" priority="2">
      <dataBar>
        <cfvo type="num" val="0"/>
        <cfvo type="num" val="1"/>
        <color theme="0" tint="-0.34998626667073579"/>
      </dataBar>
      <extLst>
        <ext xmlns:x14="http://schemas.microsoft.com/office/spreadsheetml/2009/9/main" uri="{B025F937-C7B1-47D3-B67F-A62EFF666E3E}">
          <x14:id>{0A58A75E-4698-465A-8593-F06B91A3A900}</x14:id>
        </ext>
      </extLst>
    </cfRule>
  </conditionalFormatting>
  <conditionalFormatting sqref="K6:BN7">
    <cfRule type="expression" dxfId="3" priority="45">
      <formula>K$6=TODAY()</formula>
    </cfRule>
  </conditionalFormatting>
  <conditionalFormatting sqref="K6:BN26">
    <cfRule type="expression" dxfId="2" priority="8">
      <formula>K$6=TODAY()</formula>
    </cfRule>
  </conditionalFormatting>
  <conditionalFormatting sqref="K8:BN26">
    <cfRule type="expression" dxfId="1" priority="48">
      <formula>AND($E8&lt;=K$6,ROUNDDOWN(($F8-$E8+1)*$H8,0)+$E8-1&gt;=K$6)</formula>
    </cfRule>
    <cfRule type="expression" dxfId="0" priority="49">
      <formula>AND(NOT(ISBLANK($E8)),$E8&lt;=K$6,$F8&gt;=K$6)</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xr:uid="{00000000-0002-0000-0000-000000000000}"/>
  </dataValidations>
  <pageMargins left="0.25" right="0.25" top="0.5" bottom="0.5" header="0.5" footer="0.25"/>
  <pageSetup scale="63" fitToHeight="0" orientation="landscape" r:id="rId1"/>
  <headerFooter alignWithMargins="0"/>
  <ignoredErrors>
    <ignoredError sqref="H9 A26:B26 E12 E16 E20 E26:H26 G10 G12:H12 G16:H16 G20:H20 G24 G23" unlockedFormula="1"/>
    <ignoredError sqref="A20 A16 A12"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9</xdr:col>
                    <xdr:colOff>99060</xdr:colOff>
                    <xdr:row>1</xdr:row>
                    <xdr:rowOff>129540</xdr:rowOff>
                  </from>
                  <to>
                    <xdr:col>27</xdr:col>
                    <xdr:colOff>99060</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H8:H26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GanttChart</vt:lpstr>
      <vt:lpstr>GanttChart!prevWBS</vt:lpstr>
      <vt:lpstr>GanttChart!Print_Area</vt:lpstr>
      <vt:lpstr>GanttChart!Print_Titles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ryleerenner18@gmail.com</cp:lastModifiedBy>
  <cp:revision/>
  <dcterms:created xsi:type="dcterms:W3CDTF">2010-06-09T16:05:03Z</dcterms:created>
  <dcterms:modified xsi:type="dcterms:W3CDTF">2026-02-24T15:23:06Z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3.1.0</vt:lpwstr>
  </property>
  <property fmtid="{D5CDD505-2E9C-101B-9397-08002B2CF9AE}" pid="4" name="Source">
    <vt:lpwstr>https://www.vertex42.com/ExcelTemplates/excel-gantt-chart.html</vt:lpwstr>
  </property>
</Properties>
</file>